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8AFC22C9-D2C6-4C88-911F-907627EAE82C}" xr6:coauthVersionLast="47" xr6:coauthVersionMax="47" xr10:uidLastSave="{00000000-0000-0000-0000-000000000000}"/>
  <bookViews>
    <workbookView xWindow="-120" yWindow="-120" windowWidth="29040" windowHeight="15720" xr2:uid="{00000000-000D-0000-FFFF-FFFF00000000}"/>
  </bookViews>
  <sheets>
    <sheet name="BG_Quỳnh Anh" sheetId="2" r:id="rId1"/>
  </sheets>
  <definedNames>
    <definedName name="_xlnm.Print_Area" localSheetId="0">'BG_Quỳnh Anh'!$A$1:$I$41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0" i="2" l="1"/>
  <c r="I21" i="2"/>
  <c r="I22" i="2"/>
  <c r="I23" i="2"/>
  <c r="I24" i="2" l="1"/>
  <c r="I25" i="2" s="1"/>
  <c r="I26" i="2" l="1"/>
</calcChain>
</file>

<file path=xl/sharedStrings.xml><?xml version="1.0" encoding="utf-8"?>
<sst xmlns="http://schemas.openxmlformats.org/spreadsheetml/2006/main" count="60" uniqueCount="52">
  <si>
    <t>CÔNG TY TNHH SẢN XUẤT VÀ THƯƠNG MẠI DỊCH VỤ MINH KHÁNH</t>
  </si>
  <si>
    <t>RR-2026-019</t>
  </si>
  <si>
    <t>Địa chỉ: Số 545 đường Nguyễn Văn Linh, P. Phúc Lợi, TP Hà Nội.</t>
  </si>
  <si>
    <t>VPGD: Số A2TT1 Khu đô thị Bắc Linh Đàm, P. Định Công, Hà Nội</t>
  </si>
  <si>
    <t>Hotline: 0964.018.138</t>
  </si>
  <si>
    <t>Email: office@minhkhanhvn.com</t>
  </si>
  <si>
    <t>Số tài khoản: 1090581035555 - Ngân hàng TMCP Quân đội - Chi nhánh Thủ Đô</t>
  </si>
  <si>
    <t>hoặc: 56968 - Ngân hàng TMCP Sài Gòn Thương Tín - Chi nhánh Hàng Bài.</t>
  </si>
  <si>
    <t>BÁO GIÁ</t>
  </si>
  <si>
    <t>Số: RR-2026-019</t>
  </si>
  <si>
    <t>Ngày: 25/04/2026</t>
  </si>
  <si>
    <t xml:space="preserve">Khách hàng: </t>
  </si>
  <si>
    <t>Công ty Thực phẩm Minh Khang</t>
  </si>
  <si>
    <t>Mr/Ms:</t>
  </si>
  <si>
    <t>SĐT</t>
  </si>
  <si>
    <t/>
  </si>
  <si>
    <t>SĐT:</t>
  </si>
  <si>
    <t>Địa chỉ:</t>
  </si>
  <si>
    <t>Công ty TNHH Sản xuất và Thương mại dịch vụ Minh Khánh xin cảm ơn Quý Công ty đã quan tâm đến sản phẩm và dịch vụ do chúng tôi cung cấp. Theo yêu cầu của Quý Công ty, chúng tôi xin được chào giá các sản phẩm như sau:</t>
  </si>
  <si>
    <t>STT</t>
  </si>
  <si>
    <t>Mã sản phẩm</t>
  </si>
  <si>
    <t>Tên hàng hóa sản phẩm</t>
  </si>
  <si>
    <t>ĐVT</t>
  </si>
  <si>
    <t>Số lượng</t>
  </si>
  <si>
    <t>Đơn giá</t>
  </si>
  <si>
    <t>Thành tiền (VND)</t>
  </si>
  <si>
    <t>ITEM-001</t>
  </si>
  <si>
    <t>Nguyên liệu demo</t>
  </si>
  <si>
    <t>Cái</t>
  </si>
  <si>
    <t>ITM000001</t>
  </si>
  <si>
    <t>WYPALL X80 PLUS QUARTER FOLD WIPERS GREEN 19154 - KHĂN LAU THẤM DẦU CHUYÊN DỤNG TRONG CHẾ BIẾN THỰC PHẨM</t>
  </si>
  <si>
    <t>Hộp</t>
  </si>
  <si>
    <t>ITM000002</t>
  </si>
  <si>
    <t>Lưới lọc sơn #300</t>
  </si>
  <si>
    <t>ITM000005</t>
  </si>
  <si>
    <t>alaolala</t>
  </si>
  <si>
    <t>Tổng tiền hàng (VND)</t>
  </si>
  <si>
    <t>Thuế VAT 8%</t>
  </si>
  <si>
    <t>Tổng giá trị sau thuế (VND)</t>
  </si>
  <si>
    <r>
      <rPr>
        <i/>
        <sz val="11"/>
        <color theme="1"/>
        <rFont val="Times New Roman"/>
        <family val="1"/>
      </rPr>
      <t xml:space="preserve">Bằng chữ: </t>
    </r>
    <r>
      <rPr>
        <sz val="11"/>
        <color theme="1"/>
        <rFont val="Times New Roman"/>
        <family val="1"/>
      </rPr>
      <t>Ba triệu tám trăm tám mươi tám nghìn đồng./</t>
    </r>
  </si>
  <si>
    <t>* Ghi chú:</t>
  </si>
  <si>
    <t>Giao hàng</t>
  </si>
  <si>
    <t>xin chào</t>
  </si>
  <si>
    <t>Chất lượng</t>
  </si>
  <si>
    <t>Thanh toán</t>
  </si>
  <si>
    <t>Hiệu lực báo giá</t>
  </si>
  <si>
    <t>Chúng tôi hy vọng sớm nhận được đặt hàng của Quý công ty. Xin chân thành cảm ơn!</t>
  </si>
  <si>
    <t>Đại diện nhà cung cấp</t>
  </si>
  <si>
    <t>Xác nhận từ khách hàng</t>
  </si>
  <si>
    <t>Nguyễn Công Chức</t>
  </si>
  <si>
    <t>SĐT: 0827.157.018</t>
  </si>
  <si>
    <t>Email: chucnc@minhkhanhvn.com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</si>
</sst>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0" x14ac:knownFonts="1">
    <font>
      <sz val="11"/>
      <color theme="1"/>
      <name val="Calibri"/>
      <family val="2"/>
      <scheme val="minor"/>
    </font>
    <font>
      <b/>
      <sz val="9"/>
      <color theme="1"/>
      <name val="Times New Roman"/>
      <family val="1"/>
    </font>
    <font>
      <b/>
      <sz val="12"/>
      <color theme="1"/>
      <name val="Times New Roman"/>
      <family val="1"/>
    </font>
    <font>
      <sz val="11"/>
      <color theme="1"/>
      <name val="Times New Roman"/>
      <family val="1"/>
    </font>
    <font>
      <sz val="9"/>
      <color theme="1"/>
      <name val="Times New Roman"/>
      <family val="1"/>
    </font>
    <font>
      <sz val="12"/>
      <color theme="1"/>
      <name val="Times New Roman"/>
      <family val="1"/>
    </font>
    <font>
      <b/>
      <i/>
      <sz val="11"/>
      <color theme="1"/>
      <name val="Times New Roman"/>
      <family val="1"/>
    </font>
    <font>
      <b/>
      <sz val="18"/>
      <color theme="1"/>
      <name val="Times New Roman"/>
      <family val="1"/>
    </font>
    <font>
      <i/>
      <sz val="11"/>
      <color theme="1"/>
      <name val="Times New Roman"/>
      <family val="1"/>
    </font>
    <font>
      <b/>
      <sz val="11"/>
      <color theme="1"/>
      <name val="Times New Roman"/>
      <family val="1"/>
      <charset val="163"/>
    </font>
    <font>
      <u/>
      <sz val="11"/>
      <color theme="10"/>
      <name val="Calibri"/>
      <family val="2"/>
      <scheme val="minor"/>
    </font>
    <font>
      <sz val="11"/>
      <color theme="10"/>
      <name val="Times New Roman"/>
      <family val="1"/>
    </font>
    <font>
      <sz val="12"/>
      <name val="Times New Roman"/>
      <family val="1"/>
    </font>
    <font>
      <sz val="10"/>
      <color rgb="FF000000"/>
      <name val="Times New Roman"/>
      <family val="1"/>
    </font>
    <font>
      <sz val="11"/>
      <color rgb="FF000000"/>
      <name val="Times New Roman"/>
      <family val="1"/>
    </font>
    <font>
      <b/>
      <sz val="12"/>
      <name val="Times New Roman"/>
      <family val="1"/>
    </font>
    <font>
      <b/>
      <u/>
      <sz val="11"/>
      <color theme="1"/>
      <name val="Times New Roman"/>
      <family val="1"/>
    </font>
    <font>
      <i/>
      <u/>
      <sz val="11"/>
      <color theme="1"/>
      <name val="Times New Roman"/>
      <family val="1"/>
    </font>
    <font>
      <sz val="11"/>
      <color theme="1"/>
      <name val="Calibri"/>
      <family val="2"/>
      <scheme val="minor"/>
    </font>
    <font>
      <sz val="11"/>
      <name val="Calibri"/>
      <family val="2"/>
      <scheme val="minor"/>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thin">
        <color auto="1"/>
      </top>
      <bottom/>
      <diagonal/>
    </border>
    <border>
      <left/>
      <right/>
      <top style="thin">
        <color auto="1"/>
      </top>
      <bottom style="thin">
        <color auto="1"/>
      </bottom>
      <diagonal/>
    </border>
  </borders>
  <cellStyleXfs count="4">
    <xf numFmtId="0" fontId="0" fillId="0" borderId="0"/>
    <xf numFmtId="43" fontId="18" fillId="0" borderId="0" applyFont="0" applyFill="0" applyBorder="0" applyAlignment="0" applyProtection="0"/>
    <xf numFmtId="0" fontId="10" fillId="0" borderId="0" applyNumberFormat="0" applyFill="0" applyBorder="0" applyAlignment="0" applyProtection="0"/>
    <xf numFmtId="0" fontId="13" fillId="0" borderId="0"/>
  </cellStyleXfs>
  <cellXfs count="63">
    <xf numFmtId="0" fontId="0" fillId="0" borderId="0" xfId="0"/>
    <xf numFmtId="0" fontId="3" fillId="0" borderId="0" xfId="0" applyFont="1" applyAlignment="1">
      <alignment horizontal="center" vertical="center"/>
    </xf>
    <xf numFmtId="0" fontId="3" fillId="0" borderId="0" xfId="0" applyFont="1" applyAlignment="1">
      <alignment horizontal="center"/>
    </xf>
    <xf numFmtId="0" fontId="9" fillId="0" borderId="0" xfId="0" applyFont="1" applyAlignment="1">
      <alignment horizontal="center"/>
    </xf>
    <xf numFmtId="0" fontId="14" fillId="0" borderId="0" xfId="0" applyFont="1" applyAlignment="1">
      <alignment vertical="center"/>
    </xf>
    <xf numFmtId="0" fontId="14" fillId="0" borderId="0" xfId="0" applyFont="1" applyAlignment="1">
      <alignment vertical="center" wrapText="1"/>
    </xf>
    <xf numFmtId="0" fontId="8" fillId="0" borderId="6" xfId="0" applyFont="1" applyBorder="1" applyAlignment="1">
      <alignment horizontal="left" vertical="center"/>
    </xf>
    <xf numFmtId="0" fontId="8" fillId="0" borderId="3" xfId="0" applyFont="1" applyBorder="1" applyAlignment="1">
      <alignment horizontal="left" vertical="center"/>
    </xf>
    <xf numFmtId="0" fontId="9" fillId="0" borderId="2" xfId="0" applyFont="1" applyBorder="1" applyAlignment="1">
      <alignment horizontal="left" vertical="center"/>
    </xf>
    <xf numFmtId="0" fontId="9" fillId="0" borderId="6" xfId="0" applyFont="1" applyBorder="1" applyAlignment="1">
      <alignment horizontal="left" vertical="center"/>
    </xf>
    <xf numFmtId="0" fontId="15" fillId="0" borderId="2" xfId="0" applyFont="1" applyBorder="1" applyAlignment="1">
      <alignment horizontal="left" vertical="center" wrapText="1"/>
    </xf>
    <xf numFmtId="0" fontId="15" fillId="0" borderId="6" xfId="0" applyFont="1" applyBorder="1" applyAlignment="1">
      <alignment horizontal="left" vertical="center" wrapText="1"/>
    </xf>
    <xf numFmtId="0" fontId="12" fillId="0" borderId="2" xfId="0" applyFont="1" applyBorder="1" applyAlignment="1">
      <alignment horizontal="left" vertical="center" wrapText="1"/>
    </xf>
    <xf numFmtId="0" fontId="12" fillId="0" borderId="6" xfId="0" applyFont="1" applyBorder="1" applyAlignment="1">
      <alignment horizontal="left" vertical="center" wrapText="1"/>
    </xf>
    <xf numFmtId="0" fontId="9" fillId="0" borderId="2" xfId="0" applyFont="1" applyBorder="1" applyAlignment="1">
      <alignment horizontal="center" vertical="center" wrapText="1"/>
    </xf>
    <xf numFmtId="0" fontId="9" fillId="0" borderId="6" xfId="0" applyFont="1" applyBorder="1" applyAlignment="1">
      <alignment horizontal="center" vertical="center" wrapText="1"/>
    </xf>
    <xf numFmtId="0" fontId="3" fillId="0" borderId="0" xfId="0" applyFont="1" applyAlignment="1">
      <alignment horizontal="left" vertical="center" wrapText="1"/>
    </xf>
    <xf numFmtId="0" fontId="11" fillId="0" borderId="0" xfId="2"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xf>
    <xf numFmtId="49" fontId="14" fillId="0" borderId="0" xfId="0" applyNumberFormat="1" applyFont="1" applyFill="1" applyAlignment="1" applyProtection="1">
      <alignment horizontal="left" vertical="center"/>
    </xf>
    <xf numFmtId="49" fontId="19" fillId="0" borderId="0" xfId="2" applyNumberFormat="1" applyFont="1" applyFill="1" applyAlignment="1">
      <alignment horizontal="left" vertical="center"/>
    </xf>
    <xf numFmtId="0" fontId="9" fillId="0" borderId="0" xfId="0" applyFont="1" applyAlignment="1">
      <alignment horizontal="left" vertical="center" wrapText="1"/>
    </xf>
    <xf numFmtId="0" fontId="9" fillId="0" borderId="0" xfId="0" applyFont="1" applyAlignment="1">
      <alignment horizontal="left" vertical="center"/>
    </xf>
    <xf numFmtId="0" fontId="8" fillId="0" borderId="0" xfId="0" applyFont="1" applyAlignment="1">
      <alignment horizontal="center" vertical="center"/>
    </xf>
    <xf numFmtId="0" fontId="7" fillId="0" borderId="0" xfId="0" applyFont="1" applyAlignment="1">
      <alignment horizontal="center" vertical="center"/>
    </xf>
    <xf numFmtId="0" fontId="9" fillId="0" borderId="3" xfId="0" applyFont="1" applyBorder="1" applyAlignment="1">
      <alignment horizontal="center" vertical="center" wrapText="1"/>
    </xf>
    <xf numFmtId="0" fontId="3" fillId="0" borderId="0" xfId="0" applyFont="1" applyAlignment="1">
      <alignment horizontal="center" vertical="center"/>
    </xf>
    <xf numFmtId="0" fontId="1" fillId="0" borderId="0" xfId="0" applyFont="1" applyAlignment="1">
      <alignment vertical="top"/>
    </xf>
    <xf numFmtId="0" fontId="2" fillId="0" borderId="0" xfId="0" applyFont="1" applyAlignment="1">
      <alignment horizontal="left" vertical="center"/>
    </xf>
    <xf numFmtId="0" fontId="3" fillId="0" borderId="0" xfId="0" applyFont="1"/>
    <xf numFmtId="0" fontId="4" fillId="0" borderId="0" xfId="0" applyFont="1" applyAlignment="1">
      <alignment vertical="top" wrapText="1"/>
    </xf>
    <xf numFmtId="0" fontId="3" fillId="0" borderId="0" xfId="0" applyFont="1" applyAlignment="1">
      <alignment horizontal="left" vertical="top"/>
    </xf>
    <xf numFmtId="0" fontId="5" fillId="0" borderId="0" xfId="0" applyFont="1" applyAlignment="1">
      <alignment horizontal="left" vertical="top" wrapText="1"/>
    </xf>
    <xf numFmtId="0" fontId="4" fillId="0" borderId="0" xfId="0" applyFont="1" applyAlignment="1">
      <alignment vertical="top"/>
    </xf>
    <xf numFmtId="0" fontId="3" fillId="0" borderId="0" xfId="0" applyFont="1" applyAlignment="1">
      <alignment horizontal="left" indent="8"/>
    </xf>
    <xf numFmtId="0" fontId="5" fillId="0" borderId="0" xfId="0" applyFont="1"/>
    <xf numFmtId="0" fontId="6" fillId="0" borderId="0" xfId="0" applyFont="1" applyAlignment="1">
      <alignment horizontal="left" vertical="center"/>
    </xf>
    <xf numFmtId="0" fontId="3"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indent="4"/>
    </xf>
    <xf numFmtId="0" fontId="3" fillId="0" borderId="0" xfId="0" quotePrefix="1" applyFont="1" applyAlignment="1">
      <alignment horizontal="left" vertical="center"/>
    </xf>
    <xf numFmtId="0" fontId="3" fillId="0" borderId="0" xfId="0" applyFont="1" applyAlignment="1">
      <alignment horizontal="left"/>
    </xf>
    <xf numFmtId="0" fontId="3" fillId="0" borderId="0" xfId="0" applyFont="1" applyAlignment="1">
      <alignment horizontal="left" wrapText="1"/>
    </xf>
    <xf numFmtId="0" fontId="9" fillId="0" borderId="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1" fontId="14" fillId="0" borderId="4" xfId="3" applyNumberFormat="1" applyFont="1" applyBorder="1" applyAlignment="1">
      <alignment horizontal="center" vertical="center" wrapText="1" shrinkToFit="1"/>
    </xf>
    <xf numFmtId="164" fontId="3" fillId="0" borderId="4" xfId="1" applyNumberFormat="1" applyFont="1" applyBorder="1" applyAlignment="1">
      <alignment horizontal="center" vertical="center" wrapText="1"/>
    </xf>
    <xf numFmtId="0" fontId="3" fillId="0" borderId="5" xfId="0" applyFont="1" applyBorder="1" applyAlignment="1">
      <alignment horizontal="center" vertical="center" wrapText="1"/>
    </xf>
    <xf numFmtId="164" fontId="9" fillId="0" borderId="5" xfId="1" applyNumberFormat="1" applyFont="1" applyBorder="1" applyAlignment="1">
      <alignment horizontal="right" vertical="center" wrapText="1"/>
    </xf>
    <xf numFmtId="0" fontId="3" fillId="0" borderId="1" xfId="0" applyFont="1" applyBorder="1" applyAlignment="1">
      <alignment vertical="center"/>
    </xf>
    <xf numFmtId="164" fontId="9" fillId="0" borderId="1" xfId="1" applyNumberFormat="1" applyFont="1" applyBorder="1" applyAlignment="1">
      <alignment horizontal="right" vertical="center" wrapText="1"/>
    </xf>
    <xf numFmtId="0" fontId="16" fillId="0" borderId="0" xfId="0" applyFont="1" applyAlignment="1">
      <alignment vertical="center"/>
    </xf>
    <xf numFmtId="0" fontId="3" fillId="0" borderId="0" xfId="0" quotePrefix="1" applyFont="1" applyAlignment="1">
      <alignment vertical="top"/>
    </xf>
    <xf numFmtId="0" fontId="17" fillId="0" borderId="0" xfId="0" quotePrefix="1" applyFont="1" applyAlignment="1">
      <alignment vertical="top"/>
    </xf>
    <xf numFmtId="0" fontId="17" fillId="0" borderId="0" xfId="0" quotePrefix="1" applyFont="1" applyAlignment="1">
      <alignment vertical="center"/>
    </xf>
    <xf numFmtId="0" fontId="9" fillId="0" borderId="0" xfId="0" applyFont="1"/>
    <xf numFmtId="0" fontId="15" fillId="0" borderId="3" xfId="0" applyFont="1" applyBorder="1" applyAlignment="1">
      <alignment horizontal="left" vertical="center" wrapText="1"/>
    </xf>
    <xf numFmtId="0" fontId="9" fillId="0" borderId="3" xfId="0" applyFont="1" applyBorder="1" applyAlignment="1">
      <alignment horizontal="left" vertical="center"/>
    </xf>
    <xf numFmtId="0" fontId="12" fillId="0" borderId="3" xfId="0" applyFont="1" applyBorder="1" applyAlignment="1">
      <alignment horizontal="left" vertical="center" wrapText="1"/>
    </xf>
  </cellXfs>
  <cellStyles count="4">
    <cellStyle name="Comma" xfId="1" builtinId="3"/>
    <cellStyle name="Hyperlink" xfId="2" builtinId="8"/>
    <cellStyle name="Normal" xfId="0" builtinId="0"/>
    <cellStyle name="Normal 2" xfId="3"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38100</xdr:colOff>
      <xdr:row>0</xdr:row>
      <xdr:rowOff>0</xdr:rowOff>
    </xdr:from>
    <xdr:ext cx="1152525" cy="11620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152525" cy="1162050"/>
        </a:xfrm>
        <a:prstGeom prst="rect">
          <a:avLst/>
        </a:prstGeom>
      </xdr:spPr>
    </xdr:pic>
    <xdr:clientData/>
  </xdr:oneCellAnchor>
  <xdr:oneCellAnchor>
    <xdr:from>
      <xdr:col>1</xdr:col>
      <xdr:colOff>457200</xdr:colOff>
      <xdr:row>34</xdr:row>
      <xdr:rowOff>28575</xdr:rowOff>
    </xdr:from>
    <xdr:ext cx="723900" cy="542925"/>
    <xdr:pic>
      <xdr:nvPicPr>
        <xdr:cNvPr id="3" name="Picture 5">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0" y="0"/>
          <a:ext cx="723900" cy="542925"/>
        </a:xfrm>
        <a:prstGeom prst="rect">
          <a:avLst/>
        </a:prstGeom>
      </xdr:spPr>
    </xdr:pic>
    <xdr:clientData/>
  </xdr:oneCellAnchor>
  <xdr:twoCellAnchor>
    <xdr:from>
      <xdr:col>5</xdr:col>
      <xdr:colOff>200025</xdr:colOff>
      <xdr:row>6</xdr:row>
      <xdr:rowOff>38100</xdr:rowOff>
    </xdr:from>
    <xdr:to>
      <xdr:col>7</xdr:col>
      <xdr:colOff>495300</xdr:colOff>
      <xdr:row>17</xdr:row>
      <xdr:rowOff>190500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stretch>
          <a:fillRect/>
        </a:stretch>
      </xdr:blipFill>
      <xdr:spPr>
        <a:xfrm>
          <a:off x="0" y="0"/>
          <a:ext cx="1609725" cy="1609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4DDDC-A116-41FF-84A9-E5AC0AAF7F5E}">
  <sheetPr>
    <pageSetUpPr fitToPage="1"/>
  </sheetPr>
  <dimension ref="A1:Z41"/>
  <sheetViews>
    <sheetView tabSelected="1" zoomScaleNormal="78" workbookViewId="0">
      <selection activeCell="I20" sqref="I20"/>
    </sheetView>
  </sheetViews>
  <sheetFormatPr defaultColWidth="9.140625" defaultRowHeight="15" x14ac:dyDescent="0.25"/>
  <cols>
    <col min="1" max="1" width="6.85546875" style="30" customWidth="1"/>
    <col min="2" max="2" width="9.28515625" style="30" customWidth="1"/>
    <col min="3" max="3" width="2.28515625" style="30" customWidth="1"/>
    <col min="4" max="4" width="18.28515625" style="30" customWidth="1"/>
    <col min="5" max="5" width="11.28515625" style="30" customWidth="1"/>
    <col min="6" max="7" width="9.140625" style="30" customWidth="1"/>
    <col min="8" max="9" width="14.42578125" style="30" customWidth="1"/>
    <col min="10" max="10" width="1.42578125" style="30" customWidth="1"/>
    <col min="11" max="11" width="4" style="30" customWidth="1"/>
    <col min="12" max="12" width="21.42578125" style="30" customWidth="1"/>
    <col min="13" max="25" width="9.140625" style="30" customWidth="1"/>
    <col min="26" max="26" width="9.140625" style="30" hidden="1" customWidth="1"/>
    <col min="27" max="27" width="9.140625" style="30" customWidth="1"/>
    <col min="28" max="16384" width="9.140625" style="30"/>
  </cols>
  <sheetData>
    <row r="1" spans="1:26" ht="15.75" customHeight="1" x14ac:dyDescent="0.25">
      <c r="A1" s="28"/>
      <c r="B1" s="28"/>
      <c r="D1" s="29" t="s">
        <v>0</v>
      </c>
      <c r="E1" s="29"/>
      <c r="F1" s="29"/>
      <c r="G1" s="29"/>
      <c r="H1" s="29"/>
      <c r="I1" s="29"/>
      <c r="Z1" s="30" t="s">
        <v>1</v>
      </c>
    </row>
    <row r="2" spans="1:26" ht="15" customHeight="1" x14ac:dyDescent="0.25">
      <c r="A2" s="31"/>
      <c r="B2" s="31"/>
      <c r="D2" s="32" t="s">
        <v>2</v>
      </c>
      <c r="E2" s="33"/>
      <c r="F2" s="33"/>
      <c r="G2" s="33"/>
      <c r="H2" s="33"/>
      <c r="I2" s="33"/>
    </row>
    <row r="3" spans="1:26" ht="15" customHeight="1" x14ac:dyDescent="0.25">
      <c r="A3" s="31"/>
      <c r="B3" s="31"/>
      <c r="D3" s="32" t="s">
        <v>3</v>
      </c>
      <c r="E3" s="33"/>
      <c r="F3" s="33"/>
      <c r="G3" s="33"/>
      <c r="H3" s="33"/>
      <c r="I3" s="33"/>
    </row>
    <row r="4" spans="1:26" ht="15" customHeight="1" x14ac:dyDescent="0.25">
      <c r="A4" s="34"/>
      <c r="B4" s="34"/>
      <c r="D4" s="30" t="s">
        <v>4</v>
      </c>
      <c r="E4" s="35" t="s">
        <v>5</v>
      </c>
      <c r="G4" s="36"/>
      <c r="H4" s="36"/>
      <c r="I4" s="36"/>
    </row>
    <row r="5" spans="1:26" ht="15" customHeight="1" x14ac:dyDescent="0.25">
      <c r="A5" s="31"/>
      <c r="B5" s="31"/>
      <c r="D5" s="37" t="s">
        <v>6</v>
      </c>
      <c r="E5" s="38"/>
      <c r="F5" s="38"/>
      <c r="G5" s="38"/>
      <c r="H5" s="38"/>
      <c r="I5" s="38"/>
      <c r="J5" s="38"/>
    </row>
    <row r="6" spans="1:26" ht="15" customHeight="1" x14ac:dyDescent="0.25">
      <c r="A6" s="31"/>
      <c r="B6" s="31"/>
      <c r="D6" s="37" t="s">
        <v>7</v>
      </c>
      <c r="E6" s="38"/>
      <c r="F6" s="38"/>
      <c r="G6" s="38"/>
      <c r="H6" s="38"/>
      <c r="I6" s="38"/>
      <c r="J6" s="38"/>
    </row>
    <row r="7" spans="1:26" ht="15.75" customHeight="1" x14ac:dyDescent="0.25"/>
    <row r="8" spans="1:26" ht="22.35" customHeight="1" x14ac:dyDescent="0.25">
      <c r="A8" s="25" t="s">
        <v>8</v>
      </c>
      <c r="B8" s="25"/>
      <c r="C8" s="25"/>
      <c r="D8" s="25"/>
      <c r="E8" s="25"/>
      <c r="F8" s="25"/>
      <c r="G8" s="25"/>
      <c r="H8" s="25"/>
      <c r="I8" s="25"/>
    </row>
    <row r="9" spans="1:26" x14ac:dyDescent="0.25">
      <c r="A9" s="24" t="s">
        <v>9</v>
      </c>
      <c r="B9" s="24"/>
      <c r="C9" s="24"/>
      <c r="D9" s="24"/>
      <c r="E9" s="24"/>
      <c r="F9" s="24"/>
      <c r="G9" s="24"/>
      <c r="H9" s="24"/>
      <c r="I9" s="24"/>
    </row>
    <row r="10" spans="1:26" x14ac:dyDescent="0.25">
      <c r="A10" s="24" t="s">
        <v>10</v>
      </c>
      <c r="B10" s="24"/>
      <c r="C10" s="24"/>
      <c r="D10" s="24"/>
      <c r="E10" s="24"/>
      <c r="F10" s="24"/>
      <c r="G10" s="24"/>
      <c r="H10" s="24"/>
      <c r="I10" s="24"/>
    </row>
    <row r="11" spans="1:26" ht="10.5" customHeight="1" x14ac:dyDescent="0.25">
      <c r="A11" s="39"/>
      <c r="B11" s="39"/>
      <c r="C11" s="39"/>
      <c r="D11" s="39"/>
      <c r="E11" s="39"/>
      <c r="F11" s="39"/>
      <c r="G11" s="39"/>
      <c r="H11" s="39"/>
      <c r="I11" s="39"/>
    </row>
    <row r="12" spans="1:26" s="42" customFormat="1" ht="14.25" customHeight="1" x14ac:dyDescent="0.25">
      <c r="A12" s="23" t="s">
        <v>11</v>
      </c>
      <c r="B12" s="23"/>
      <c r="C12" s="40" t="s">
        <v>12</v>
      </c>
      <c r="D12" s="40"/>
      <c r="E12" s="40"/>
      <c r="F12" s="40"/>
      <c r="G12" s="40"/>
      <c r="H12" s="41"/>
    </row>
    <row r="13" spans="1:26" s="42" customFormat="1" ht="14.25" hidden="1" customHeight="1" x14ac:dyDescent="0.25">
      <c r="A13" s="23" t="s">
        <v>13</v>
      </c>
      <c r="B13" s="23"/>
      <c r="C13" s="40"/>
      <c r="D13" s="40"/>
      <c r="E13" s="40"/>
      <c r="F13" s="40"/>
      <c r="G13" s="40"/>
      <c r="H13" s="40"/>
    </row>
    <row r="14" spans="1:26" s="42" customFormat="1" ht="14.25" hidden="1" customHeight="1" x14ac:dyDescent="0.25">
      <c r="A14" s="22" t="s">
        <v>14</v>
      </c>
      <c r="B14" s="22"/>
      <c r="C14" s="43" t="s">
        <v>15</v>
      </c>
      <c r="D14" s="43"/>
      <c r="E14" s="43"/>
      <c r="F14" s="40"/>
      <c r="G14" s="40"/>
      <c r="H14" s="40"/>
    </row>
    <row r="15" spans="1:26" s="42" customFormat="1" ht="14.25" customHeight="1" x14ac:dyDescent="0.25">
      <c r="A15" s="23" t="s">
        <v>16</v>
      </c>
      <c r="B15" s="23"/>
      <c r="C15" s="21"/>
      <c r="D15" s="20"/>
      <c r="E15" s="20"/>
      <c r="F15" s="20"/>
      <c r="G15" s="40"/>
      <c r="H15" s="40"/>
    </row>
    <row r="16" spans="1:26" ht="15" hidden="1" customHeight="1" x14ac:dyDescent="0.25">
      <c r="A16" s="44" t="s">
        <v>17</v>
      </c>
      <c r="B16" s="19"/>
      <c r="C16" s="19"/>
      <c r="D16" s="19"/>
      <c r="E16" s="19"/>
      <c r="G16" s="19"/>
      <c r="H16" s="19"/>
      <c r="I16" s="19"/>
    </row>
    <row r="17" spans="1:10" ht="11.25" customHeight="1" x14ac:dyDescent="0.25">
      <c r="A17" s="41"/>
      <c r="B17" s="18"/>
      <c r="C17" s="18"/>
      <c r="D17" s="18"/>
      <c r="E17" s="18"/>
      <c r="F17" s="38"/>
      <c r="G17" s="17"/>
      <c r="H17" s="18"/>
      <c r="I17" s="18"/>
    </row>
    <row r="18" spans="1:10" ht="43.5" customHeight="1" x14ac:dyDescent="0.25">
      <c r="A18" s="16" t="s">
        <v>18</v>
      </c>
      <c r="B18" s="16"/>
      <c r="C18" s="16"/>
      <c r="D18" s="16"/>
      <c r="E18" s="16"/>
      <c r="F18" s="16"/>
      <c r="G18" s="16"/>
      <c r="H18" s="16"/>
      <c r="I18" s="16"/>
      <c r="J18" s="45"/>
    </row>
    <row r="19" spans="1:10" s="27" customFormat="1" ht="27.75" customHeight="1" x14ac:dyDescent="0.25">
      <c r="A19" s="46" t="s">
        <v>19</v>
      </c>
      <c r="B19" s="26" t="s">
        <v>20</v>
      </c>
      <c r="C19" s="15" t="s">
        <v>21</v>
      </c>
      <c r="D19" s="15"/>
      <c r="E19" s="14"/>
      <c r="F19" s="26" t="s">
        <v>22</v>
      </c>
      <c r="G19" s="46" t="s">
        <v>23</v>
      </c>
      <c r="H19" s="46" t="s">
        <v>24</v>
      </c>
      <c r="I19" s="46" t="s">
        <v>25</v>
      </c>
    </row>
    <row r="20" spans="1:10" s="38" customFormat="1" ht="32.1" customHeight="1" x14ac:dyDescent="0.25">
      <c r="A20" s="47">
        <v>1</v>
      </c>
      <c r="B20" s="62" t="s">
        <v>26</v>
      </c>
      <c r="C20" s="13" t="s">
        <v>27</v>
      </c>
      <c r="D20" s="13"/>
      <c r="E20" s="12"/>
      <c r="F20" s="48" t="s">
        <v>28</v>
      </c>
      <c r="G20" s="49">
        <v>1</v>
      </c>
      <c r="H20" s="50">
        <v>1000</v>
      </c>
      <c r="I20" s="50">
        <f>H20*G20</f>
        <v>1000</v>
      </c>
    </row>
    <row r="21" spans="1:10" s="38" customFormat="1" ht="32.1" customHeight="1" x14ac:dyDescent="0.25">
      <c r="A21" s="47">
        <v>2</v>
      </c>
      <c r="B21" s="62" t="s">
        <v>29</v>
      </c>
      <c r="C21" s="13" t="s">
        <v>30</v>
      </c>
      <c r="D21" s="13"/>
      <c r="E21" s="12"/>
      <c r="F21" s="48" t="s">
        <v>31</v>
      </c>
      <c r="G21" s="49">
        <v>1</v>
      </c>
      <c r="H21" s="50">
        <v>5000</v>
      </c>
      <c r="I21" s="50">
        <f>H21*G21</f>
        <v>5000</v>
      </c>
    </row>
    <row r="22" spans="1:10" s="38" customFormat="1" ht="31.5" x14ac:dyDescent="0.25">
      <c r="A22" s="47">
        <v>3</v>
      </c>
      <c r="B22" s="62" t="s">
        <v>32</v>
      </c>
      <c r="C22" s="13" t="s">
        <v>33</v>
      </c>
      <c r="D22" s="13"/>
      <c r="E22" s="12"/>
      <c r="F22" s="48" t="s">
        <v>31</v>
      </c>
      <c r="G22" s="49">
        <v>1</v>
      </c>
      <c r="H22" s="50">
        <v>24123</v>
      </c>
      <c r="I22" s="50">
        <f>H22*G22</f>
        <v>24123</v>
      </c>
    </row>
    <row r="23" spans="1:10" s="38" customFormat="1" ht="31.5" x14ac:dyDescent="0.25">
      <c r="A23" s="47">
        <v>4</v>
      </c>
      <c r="B23" s="62" t="s">
        <v>34</v>
      </c>
      <c r="C23" s="13" t="s">
        <v>35</v>
      </c>
      <c r="D23" s="13"/>
      <c r="E23" s="12"/>
      <c r="F23" s="48" t="s">
        <v>28</v>
      </c>
      <c r="G23" s="49">
        <v>1</v>
      </c>
      <c r="H23" s="50">
        <v>150000</v>
      </c>
      <c r="I23" s="50">
        <f>H23*G23</f>
        <v>150000</v>
      </c>
    </row>
    <row r="24" spans="1:10" s="38" customFormat="1" ht="21" customHeight="1" x14ac:dyDescent="0.25">
      <c r="A24" s="51"/>
      <c r="B24" s="60" t="s">
        <v>36</v>
      </c>
      <c r="C24" s="11" t="s">
        <v>36</v>
      </c>
      <c r="D24" s="11"/>
      <c r="E24" s="11"/>
      <c r="F24" s="11"/>
      <c r="G24" s="11"/>
      <c r="H24" s="10"/>
      <c r="I24" s="52">
        <f>SUM(I20:I23)</f>
        <v>180123</v>
      </c>
    </row>
    <row r="25" spans="1:10" s="38" customFormat="1" ht="21" customHeight="1" x14ac:dyDescent="0.25">
      <c r="A25" s="53"/>
      <c r="B25" s="61" t="s">
        <v>37</v>
      </c>
      <c r="C25" s="9" t="s">
        <v>37</v>
      </c>
      <c r="D25" s="9"/>
      <c r="E25" s="9"/>
      <c r="F25" s="9"/>
      <c r="G25" s="9"/>
      <c r="H25" s="8"/>
      <c r="I25" s="54">
        <f>I24*0.08</f>
        <v>14409.84</v>
      </c>
    </row>
    <row r="26" spans="1:10" s="38" customFormat="1" ht="21" customHeight="1" x14ac:dyDescent="0.25">
      <c r="A26" s="53"/>
      <c r="B26" s="61" t="s">
        <v>38</v>
      </c>
      <c r="C26" s="9" t="s">
        <v>38</v>
      </c>
      <c r="D26" s="9"/>
      <c r="E26" s="9"/>
      <c r="F26" s="9"/>
      <c r="G26" s="9"/>
      <c r="H26" s="8"/>
      <c r="I26" s="54">
        <f>I24+I25</f>
        <v>194532.84</v>
      </c>
    </row>
    <row r="27" spans="1:10" s="38" customFormat="1" ht="21" customHeight="1" x14ac:dyDescent="0.25">
      <c r="A27" s="53"/>
      <c r="B27" s="7" t="s">
        <v>39</v>
      </c>
      <c r="C27" s="6"/>
      <c r="D27" s="9"/>
      <c r="E27" s="9"/>
      <c r="F27" s="9"/>
      <c r="G27" s="9"/>
      <c r="H27" s="9"/>
      <c r="I27" s="8"/>
    </row>
    <row r="28" spans="1:10" s="38" customFormat="1" x14ac:dyDescent="0.25">
      <c r="A28" s="55" t="s">
        <v>40</v>
      </c>
    </row>
    <row r="29" spans="1:10" s="38" customFormat="1" ht="13.5" customHeight="1" x14ac:dyDescent="0.25">
      <c r="A29" s="56" t="s">
        <v>41</v>
      </c>
      <c r="D29" s="16" t="s">
        <v>42</v>
      </c>
      <c r="E29" s="16"/>
      <c r="F29" s="16"/>
      <c r="G29" s="16"/>
      <c r="H29" s="16"/>
      <c r="I29" s="16"/>
    </row>
    <row r="30" spans="1:10" s="38" customFormat="1" ht="13.5" customHeight="1" x14ac:dyDescent="0.25">
      <c r="A30" s="57" t="s">
        <v>43</v>
      </c>
      <c r="D30" s="5" t="s">
        <v>42</v>
      </c>
      <c r="E30" s="5"/>
      <c r="F30" s="5"/>
      <c r="G30" s="5"/>
      <c r="H30" s="5"/>
      <c r="I30" s="5"/>
    </row>
    <row r="31" spans="1:10" s="38" customFormat="1" ht="13.5" customHeight="1" x14ac:dyDescent="0.25">
      <c r="A31" s="57" t="s">
        <v>44</v>
      </c>
      <c r="D31" s="5" t="s">
        <v>42</v>
      </c>
      <c r="E31" s="4"/>
      <c r="F31" s="4"/>
      <c r="G31" s="4"/>
      <c r="H31" s="4"/>
      <c r="I31" s="4"/>
    </row>
    <row r="32" spans="1:10" s="38" customFormat="1" ht="13.5" customHeight="1" x14ac:dyDescent="0.25">
      <c r="A32" s="58" t="s">
        <v>45</v>
      </c>
      <c r="D32" s="5" t="s">
        <v>42</v>
      </c>
      <c r="E32" s="4"/>
      <c r="F32" s="4"/>
      <c r="G32" s="4"/>
      <c r="H32" s="4"/>
      <c r="I32" s="4"/>
    </row>
    <row r="33" spans="1:7" s="38" customFormat="1" ht="27.75" customHeight="1" x14ac:dyDescent="0.25">
      <c r="A33" s="38" t="s">
        <v>46</v>
      </c>
    </row>
    <row r="34" spans="1:7" x14ac:dyDescent="0.25">
      <c r="A34" s="3" t="s">
        <v>47</v>
      </c>
      <c r="B34" s="3"/>
      <c r="C34" s="3"/>
      <c r="D34" s="3"/>
      <c r="G34" s="59" t="s">
        <v>48</v>
      </c>
    </row>
    <row r="35" spans="1:7" ht="16.5" customHeight="1" x14ac:dyDescent="0.25"/>
    <row r="36" spans="1:7" ht="16.5" customHeight="1" x14ac:dyDescent="0.25"/>
    <row r="37" spans="1:7" ht="9.6" customHeight="1" x14ac:dyDescent="0.25"/>
    <row r="38" spans="1:7" ht="8.1" customHeight="1" x14ac:dyDescent="0.25"/>
    <row r="39" spans="1:7" ht="13.5" customHeight="1" x14ac:dyDescent="0.25">
      <c r="A39" s="2" t="s">
        <v>49</v>
      </c>
      <c r="B39" s="2"/>
      <c r="C39" s="2"/>
      <c r="D39" s="2"/>
    </row>
    <row r="40" spans="1:7" x14ac:dyDescent="0.25">
      <c r="A40" s="1" t="s">
        <v>50</v>
      </c>
      <c r="B40" s="1"/>
      <c r="C40" s="1"/>
      <c r="D40" s="1"/>
    </row>
    <row r="41" spans="1:7" x14ac:dyDescent="0.25">
      <c r="A41" s="1" t="s">
        <v>51</v>
      </c>
      <c r="B41" s="1"/>
      <c r="C41" s="1"/>
      <c r="D41" s="1"/>
    </row>
  </sheetData>
  <mergeCells count="30">
    <mergeCell ref="D32:I32"/>
    <mergeCell ref="A34:D34"/>
    <mergeCell ref="A39:D39"/>
    <mergeCell ref="A40:D40"/>
    <mergeCell ref="A41:D41"/>
    <mergeCell ref="C26:H26"/>
    <mergeCell ref="B27:I27"/>
    <mergeCell ref="D29:I29"/>
    <mergeCell ref="D30:I30"/>
    <mergeCell ref="D31:I31"/>
    <mergeCell ref="C21:E21"/>
    <mergeCell ref="C22:E22"/>
    <mergeCell ref="C23:E23"/>
    <mergeCell ref="C24:H24"/>
    <mergeCell ref="C25:H25"/>
    <mergeCell ref="B17:E17"/>
    <mergeCell ref="G17:I17"/>
    <mergeCell ref="A18:I18"/>
    <mergeCell ref="C19:E19"/>
    <mergeCell ref="C20:E20"/>
    <mergeCell ref="A14:B14"/>
    <mergeCell ref="A15:B15"/>
    <mergeCell ref="C15:F15"/>
    <mergeCell ref="B16:E16"/>
    <mergeCell ref="G16:I16"/>
    <mergeCell ref="A8:I8"/>
    <mergeCell ref="A9:I9"/>
    <mergeCell ref="A10:I10"/>
    <mergeCell ref="A12:B12"/>
    <mergeCell ref="A13:B13"/>
  </mergeCells>
  <pageMargins left="0.55118110236220474" right="0.15748031496062992" top="0.51181102362204722" bottom="0.74803149606299213" header="0.3543307086614173" footer="0.31496062992125984"/>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BG_Quỳnh Anh</vt:lpstr>
      <vt:lpstr>'BG_Quỳnh Anh'!Print_Area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nguyễn tuấn anh</cp:lastModifiedBy>
  <cp:lastPrinted>2026-03-14T04:45:00Z</cp:lastPrinted>
  <dcterms:created xsi:type="dcterms:W3CDTF">2025-06-05T09:40:21Z</dcterms:created>
  <dcterms:modified xsi:type="dcterms:W3CDTF">2026-04-25T13:32:51Z</dcterms:modified>
  <cp:category/>
</cp:coreProperties>
</file>