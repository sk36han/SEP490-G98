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khanh\OneDrive\Documents\"/>
    </mc:Choice>
  </mc:AlternateContent>
  <xr:revisionPtr revIDLastSave="0" documentId="13_ncr:1_{79C0F44D-6839-433B-ACAA-94CCACE67C6F}" xr6:coauthVersionLast="47" xr6:coauthVersionMax="47" xr10:uidLastSave="{00000000-0000-0000-0000-000000000000}"/>
  <bookViews>
    <workbookView xWindow="-120" yWindow="-120" windowWidth="29040" windowHeight="15720" xr2:uid="{00000000-000D-0000-FFFF-FFFF00000000}"/>
  </bookViews>
  <sheets>
    <sheet name="BG_Quỳnh Anh" sheetId="2" r:id="rId1"/>
  </sheets>
  <definedNames>
    <definedName name="_xlnm.Print_Area" localSheetId="0">'BG_Quỳnh Anh'!$A$1:$I$39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1" i="2" l="1"/>
  <c r="I20" i="2"/>
  <c r="I22" i="2" s="1"/>
  <c r="I23" i="2" l="1"/>
  <c r="I24" i="2" s="1"/>
</calcChain>
</file>

<file path=xl/sharedStrings.xml><?xml version="1.0" encoding="utf-8"?>
<sst xmlns="http://schemas.openxmlformats.org/spreadsheetml/2006/main" count="48" uniqueCount="46">
  <si>
    <t>CÔNG TY TNHH SẢN XUẤT VÀ THƯƠNG MẠI DỊCH VỤ MINH KHÁNH</t>
  </si>
  <si>
    <t>Hotline: 0964.018.138</t>
  </si>
  <si>
    <t>Email: office@minhkhanhvn.com</t>
  </si>
  <si>
    <t>Số tài khoản: 1090581035555 - Ngân hàng TMCP Quân đội - Chi nhánh Thủ Đô</t>
  </si>
  <si>
    <t>hoặc: 56968 - Ngân hàng TMCP Sài Gòn Thương Tín - Chi nhánh Hàng Bài.</t>
  </si>
  <si>
    <t>BÁO GIÁ</t>
  </si>
  <si>
    <t xml:space="preserve">Khách hàng: </t>
  </si>
  <si>
    <t>Mr/Ms:</t>
  </si>
  <si>
    <t>SĐT</t>
  </si>
  <si>
    <t>Địa chỉ:</t>
  </si>
  <si>
    <t>Công ty TNHH Sản xuất và Thương mại dịch vụ Minh Khánh xin cảm ơn Quý Công ty đã quan tâm đến sản phẩm và dịch vụ do chúng tôi cung cấp. Theo yêu cầu của Quý Công ty, chúng tôi xin được chào giá các sản phẩm như sau:</t>
  </si>
  <si>
    <t>STT</t>
  </si>
  <si>
    <t>Tên hàng hóa sản phẩm</t>
  </si>
  <si>
    <t>ĐVT</t>
  </si>
  <si>
    <t>Số lượng</t>
  </si>
  <si>
    <t>Đơn giá</t>
  </si>
  <si>
    <t>Thành tiền (VND)</t>
  </si>
  <si>
    <t>Tổng tiền hàng (VND)</t>
  </si>
  <si>
    <t>Tổng giá trị sau thuế (VND)</t>
  </si>
  <si>
    <t>* Ghi chú:</t>
  </si>
  <si>
    <r>
      <rPr>
        <b/>
        <sz val="11"/>
        <color theme="1"/>
        <rFont val="Times New Roman"/>
        <family val="1"/>
      </rPr>
      <t xml:space="preserve">- </t>
    </r>
    <r>
      <rPr>
        <i/>
        <u/>
        <sz val="11"/>
        <color theme="1"/>
        <rFont val="Times New Roman"/>
        <family val="1"/>
      </rPr>
      <t>Chất lượng:</t>
    </r>
  </si>
  <si>
    <t>- Giao hàng:</t>
  </si>
  <si>
    <t>- Thanh toán:</t>
  </si>
  <si>
    <t>- Hiệu lực báo giá:</t>
  </si>
  <si>
    <t>Trong vòng 30 ngày kể từ khi nhận báo giá.</t>
  </si>
  <si>
    <t>Chúng tôi hy vọng sớm nhận được đặt hàng của Quý công ty. Xin chân thành cảm ơn!</t>
  </si>
  <si>
    <t>Đại diện nhà cung cấp</t>
  </si>
  <si>
    <t>Xác nhận từ khách hàng</t>
  </si>
  <si>
    <t>Hàng mới 100% nguyên đai nguyên kiện theo tiêu chuẩn nhà sản xuất.</t>
  </si>
  <si>
    <t/>
  </si>
  <si>
    <t>Đôi</t>
  </si>
  <si>
    <t>Nguyễn Công Chức</t>
  </si>
  <si>
    <t>SĐT: 0827.157.018</t>
  </si>
  <si>
    <t>Email: chucnc@minhkhanhvn.com</t>
  </si>
  <si>
    <t>Thuế VAT 8%</t>
  </si>
  <si>
    <t>Thanh toán bằng chuyển khoản ngay sau khi xác nhận đơn hàng.</t>
  </si>
  <si>
    <t>Địa chỉ: Số 545 đường Nguyễn Văn Linh, P. Phúc Lợi, TP Hà Nội.</t>
  </si>
  <si>
    <t>VPGD: Số A2TT1 Khu đô thị Bắc Linh Đàm, P. Định Công, Hà Nội</t>
  </si>
  <si>
    <t>SĐT:</t>
  </si>
  <si>
    <t>Số: 2603/MK-TMT/14</t>
  </si>
  <si>
    <t>Ngày: 14/03/2026</t>
  </si>
  <si>
    <t>CÔNG TY TNHH TM TECH</t>
  </si>
  <si>
    <t>Giày bảo hộ KPR S517</t>
  </si>
  <si>
    <t>Giày bảo hộ KPR L-026X</t>
  </si>
  <si>
    <r>
      <t xml:space="preserve">Bằng chữ: </t>
    </r>
    <r>
      <rPr>
        <sz val="11"/>
        <color theme="1"/>
        <rFont val="Times New Roman"/>
        <family val="1"/>
      </rPr>
      <t>Ba triệu tám trăm tám mươi tám nghìn đồng./</t>
    </r>
  </si>
  <si>
    <t>5-7 ngày tại kho của Bên bán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</si>
</sst>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2" x14ac:knownFonts="1">
    <font>
      <sz val="11"/>
      <color theme="1"/>
      <name val="Arial"/>
      <family val="2"/>
      <scheme val="minor"/>
    </font>
    <font>
      <b/>
      <sz val="9"/>
      <color theme="1"/>
      <name val="Times New Roman"/>
      <family val="1"/>
    </font>
    <font>
      <b/>
      <sz val="12"/>
      <color theme="1"/>
      <name val="Times New Roman"/>
      <family val="1"/>
    </font>
    <font>
      <sz val="11"/>
      <color theme="1"/>
      <name val="Times New Roman"/>
      <family val="1"/>
    </font>
    <font>
      <sz val="9"/>
      <color theme="1"/>
      <name val="Times New Roman"/>
      <family val="1"/>
    </font>
    <font>
      <sz val="12"/>
      <color theme="1"/>
      <name val="Times New Roman"/>
      <family val="1"/>
    </font>
    <font>
      <b/>
      <i/>
      <sz val="11"/>
      <color theme="1"/>
      <name val="Times New Roman"/>
      <family val="1"/>
    </font>
    <font>
      <b/>
      <sz val="18"/>
      <color theme="1"/>
      <name val="Times New Roman"/>
      <family val="1"/>
    </font>
    <font>
      <i/>
      <sz val="11"/>
      <color theme="1"/>
      <name val="Times New Roman"/>
      <family val="1"/>
    </font>
    <font>
      <b/>
      <sz val="11"/>
      <color theme="1"/>
      <name val="Times New Roman"/>
      <family val="1"/>
      <charset val="163"/>
    </font>
    <font>
      <u/>
      <sz val="11"/>
      <color theme="10"/>
      <name val="Arial"/>
      <family val="2"/>
      <scheme val="minor"/>
    </font>
    <font>
      <sz val="11"/>
      <color theme="10"/>
      <name val="Times New Roman"/>
      <family val="1"/>
    </font>
    <font>
      <sz val="12"/>
      <name val="Times New Roman"/>
      <family val="1"/>
    </font>
    <font>
      <sz val="10"/>
      <color rgb="FF000000"/>
      <name val="Times New Roman"/>
      <family val="1"/>
    </font>
    <font>
      <sz val="11"/>
      <color rgb="FF000000"/>
      <name val="Times New Roman"/>
      <family val="1"/>
    </font>
    <font>
      <b/>
      <sz val="12"/>
      <name val="Times New Roman"/>
      <family val="1"/>
    </font>
    <font>
      <b/>
      <u/>
      <sz val="11"/>
      <color theme="1"/>
      <name val="Times New Roman"/>
      <family val="1"/>
    </font>
    <font>
      <i/>
      <u/>
      <sz val="11"/>
      <color theme="1"/>
      <name val="Times New Roman"/>
      <family val="1"/>
    </font>
    <font>
      <sz val="11"/>
      <color theme="1"/>
      <name val="Arial"/>
      <family val="2"/>
      <scheme val="minor"/>
    </font>
    <font>
      <b/>
      <sz val="11"/>
      <color theme="1"/>
      <name val="Times New Roman"/>
      <family val="1"/>
    </font>
    <font>
      <sz val="11"/>
      <name val="Arial"/>
      <family val="2"/>
      <scheme val="minor"/>
    </font>
    <font>
      <sz val="11"/>
      <name val="Times New Roman"/>
      <family val="1"/>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thin">
        <color auto="1"/>
      </top>
      <bottom/>
      <diagonal/>
    </border>
    <border>
      <left/>
      <right/>
      <top style="thin">
        <color auto="1"/>
      </top>
      <bottom style="thin">
        <color auto="1"/>
      </bottom>
      <diagonal/>
    </border>
  </borders>
  <cellStyleXfs count="4">
    <xf numFmtId="0" fontId="0" fillId="0" borderId="0"/>
    <xf numFmtId="43" fontId="18" fillId="0" borderId="0" applyFont="0" applyFill="0" applyBorder="0" applyAlignment="0" applyProtection="0"/>
    <xf numFmtId="0" fontId="10" fillId="0" borderId="0" applyNumberFormat="0" applyFill="0" applyBorder="0" applyAlignment="0" applyProtection="0"/>
    <xf numFmtId="0" fontId="13" fillId="0" borderId="0"/>
  </cellStyleXfs>
  <cellXfs count="65">
    <xf numFmtId="0" fontId="0" fillId="0" borderId="0" xfId="0"/>
    <xf numFmtId="0" fontId="9" fillId="0" borderId="3" xfId="0" applyFont="1" applyBorder="1" applyAlignment="1">
      <alignment horizontal="center" vertical="center" wrapText="1"/>
    </xf>
    <xf numFmtId="0" fontId="3" fillId="0" borderId="0" xfId="0" applyFont="1" applyAlignment="1">
      <alignment horizontal="center" vertical="center"/>
    </xf>
    <xf numFmtId="0" fontId="1" fillId="0" borderId="0" xfId="0" applyFont="1" applyAlignment="1">
      <alignment vertical="top"/>
    </xf>
    <xf numFmtId="0" fontId="2" fillId="0" borderId="0" xfId="0" applyFont="1" applyAlignment="1">
      <alignment horizontal="left" vertical="center"/>
    </xf>
    <xf numFmtId="0" fontId="3" fillId="0" borderId="0" xfId="0" applyFont="1"/>
    <xf numFmtId="0" fontId="4" fillId="0" borderId="0" xfId="0" applyFont="1" applyAlignment="1">
      <alignment vertical="top" wrapText="1"/>
    </xf>
    <xf numFmtId="0" fontId="3" fillId="0" borderId="0" xfId="0" applyFont="1" applyAlignment="1">
      <alignment horizontal="left" vertical="top"/>
    </xf>
    <xf numFmtId="0" fontId="5" fillId="0" borderId="0" xfId="0" applyFont="1" applyAlignment="1">
      <alignment horizontal="left" vertical="top" wrapText="1"/>
    </xf>
    <xf numFmtId="0" fontId="4" fillId="0" borderId="0" xfId="0" applyFont="1" applyAlignment="1">
      <alignment vertical="top"/>
    </xf>
    <xf numFmtId="0" fontId="3" fillId="0" borderId="0" xfId="0" applyFont="1" applyAlignment="1">
      <alignment horizontal="left" indent="8"/>
    </xf>
    <xf numFmtId="0" fontId="5" fillId="0" borderId="0" xfId="0" applyFont="1"/>
    <xf numFmtId="0" fontId="6" fillId="0" borderId="0" xfId="0" applyFont="1" applyAlignment="1">
      <alignment horizontal="left" vertical="center"/>
    </xf>
    <xf numFmtId="0" fontId="3"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horizontal="left" vertical="center" indent="4"/>
    </xf>
    <xf numFmtId="0" fontId="3" fillId="0" borderId="0" xfId="0" quotePrefix="1" applyFont="1" applyAlignment="1">
      <alignment horizontal="left" vertical="center"/>
    </xf>
    <xf numFmtId="0" fontId="3" fillId="0" borderId="0" xfId="0" applyFont="1" applyAlignment="1">
      <alignment horizontal="left"/>
    </xf>
    <xf numFmtId="0" fontId="3" fillId="0" borderId="0" xfId="0" applyFont="1" applyAlignment="1">
      <alignment horizontal="left" wrapText="1"/>
    </xf>
    <xf numFmtId="0" fontId="9" fillId="0" borderId="1"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horizontal="center" vertical="center" wrapText="1"/>
    </xf>
    <xf numFmtId="1" fontId="14" fillId="0" borderId="4" xfId="3" applyNumberFormat="1" applyFont="1" applyBorder="1" applyAlignment="1">
      <alignment horizontal="center" vertical="center" wrapText="1" shrinkToFit="1"/>
    </xf>
    <xf numFmtId="164" fontId="3" fillId="0" borderId="4" xfId="1" applyNumberFormat="1" applyFont="1" applyBorder="1" applyAlignment="1">
      <alignment horizontal="center" vertical="center" wrapText="1"/>
    </xf>
    <xf numFmtId="0" fontId="3" fillId="0" borderId="5" xfId="0" applyFont="1" applyBorder="1" applyAlignment="1">
      <alignment horizontal="center" vertical="center" wrapText="1"/>
    </xf>
    <xf numFmtId="164" fontId="9" fillId="0" borderId="5" xfId="1" applyNumberFormat="1" applyFont="1" applyBorder="1" applyAlignment="1">
      <alignment horizontal="right" vertical="center" wrapText="1"/>
    </xf>
    <xf numFmtId="0" fontId="3" fillId="0" borderId="1" xfId="0" applyFont="1" applyBorder="1" applyAlignment="1">
      <alignment vertical="center"/>
    </xf>
    <xf numFmtId="164" fontId="9" fillId="0" borderId="1" xfId="1" applyNumberFormat="1" applyFont="1" applyBorder="1" applyAlignment="1">
      <alignment horizontal="right" vertical="center" wrapText="1"/>
    </xf>
    <xf numFmtId="0" fontId="16" fillId="0" borderId="0" xfId="0" applyFont="1" applyAlignment="1">
      <alignment vertical="center"/>
    </xf>
    <xf numFmtId="0" fontId="3" fillId="0" borderId="0" xfId="0" quotePrefix="1" applyFont="1" applyAlignment="1">
      <alignment vertical="top"/>
    </xf>
    <xf numFmtId="0" fontId="17" fillId="0" borderId="0" xfId="0" quotePrefix="1" applyFont="1" applyAlignment="1">
      <alignment vertical="top"/>
    </xf>
    <xf numFmtId="0" fontId="14" fillId="0" borderId="0" xfId="0" applyFont="1" applyAlignment="1">
      <alignment vertical="center"/>
    </xf>
    <xf numFmtId="0" fontId="17" fillId="0" borderId="0" xfId="0" quotePrefix="1" applyFont="1" applyAlignment="1">
      <alignment vertical="center"/>
    </xf>
    <xf numFmtId="0" fontId="9" fillId="0" borderId="0" xfId="0" applyFont="1"/>
    <xf numFmtId="0" fontId="3" fillId="0" borderId="0" xfId="0" applyFont="1" applyAlignment="1">
      <alignment horizontal="center" vertical="center"/>
    </xf>
    <xf numFmtId="0" fontId="8" fillId="0" borderId="3" xfId="0" applyFont="1" applyBorder="1" applyAlignment="1">
      <alignment horizontal="left" vertical="center"/>
    </xf>
    <xf numFmtId="0" fontId="8" fillId="0" borderId="6" xfId="0" applyFont="1" applyBorder="1" applyAlignment="1">
      <alignment horizontal="left" vertical="center"/>
    </xf>
    <xf numFmtId="0" fontId="9" fillId="0" borderId="6" xfId="0" applyFont="1" applyBorder="1" applyAlignment="1">
      <alignment horizontal="left" vertical="center"/>
    </xf>
    <xf numFmtId="0" fontId="9" fillId="0" borderId="2" xfId="0" applyFont="1" applyBorder="1" applyAlignment="1">
      <alignment horizontal="left" vertical="center"/>
    </xf>
    <xf numFmtId="0" fontId="3" fillId="0" borderId="0" xfId="0" applyFont="1" applyAlignment="1">
      <alignment horizontal="left" vertical="center" wrapText="1"/>
    </xf>
    <xf numFmtId="0" fontId="14" fillId="0" borderId="0" xfId="0" applyFont="1" applyAlignment="1">
      <alignment vertical="center" wrapText="1"/>
    </xf>
    <xf numFmtId="0" fontId="3" fillId="0" borderId="0" xfId="0" applyFont="1" applyAlignment="1">
      <alignment vertical="center" wrapText="1"/>
    </xf>
    <xf numFmtId="0" fontId="9" fillId="0" borderId="0" xfId="0" applyFont="1" applyAlignment="1">
      <alignment horizontal="center"/>
    </xf>
    <xf numFmtId="0" fontId="3" fillId="0" borderId="0" xfId="0" applyFont="1" applyAlignment="1">
      <alignment horizontal="center"/>
    </xf>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left" vertical="center" wrapText="1"/>
    </xf>
    <xf numFmtId="0" fontId="3" fillId="0" borderId="0" xfId="0" applyFont="1" applyAlignment="1">
      <alignment horizontal="left"/>
    </xf>
    <xf numFmtId="0" fontId="3" fillId="0" borderId="0" xfId="0" applyFont="1" applyAlignment="1">
      <alignment horizontal="left" vertical="center"/>
    </xf>
    <xf numFmtId="0" fontId="11" fillId="0" borderId="0" xfId="2" applyFont="1" applyAlignment="1">
      <alignment horizontal="left" vertical="center"/>
    </xf>
    <xf numFmtId="49" fontId="20" fillId="0" borderId="0" xfId="2" applyNumberFormat="1" applyFont="1" applyFill="1" applyAlignment="1">
      <alignment horizontal="left" vertical="center"/>
    </xf>
    <xf numFmtId="49" fontId="21" fillId="0" borderId="0" xfId="0" applyNumberFormat="1" applyFont="1" applyAlignment="1">
      <alignment horizontal="left" vertical="center"/>
    </xf>
    <xf numFmtId="0" fontId="15" fillId="0" borderId="3" xfId="0" applyFont="1" applyBorder="1" applyAlignment="1">
      <alignment horizontal="left" vertical="center" wrapText="1"/>
    </xf>
    <xf numFmtId="0" fontId="15" fillId="0" borderId="6" xfId="0" applyFont="1" applyBorder="1" applyAlignment="1">
      <alignment horizontal="left" vertical="center" wrapText="1"/>
    </xf>
    <xf numFmtId="0" fontId="15" fillId="0" borderId="2" xfId="0" applyFont="1" applyBorder="1" applyAlignment="1">
      <alignment horizontal="left" vertical="center" wrapText="1"/>
    </xf>
    <xf numFmtId="0" fontId="9" fillId="0" borderId="3" xfId="0" applyFont="1" applyBorder="1" applyAlignment="1">
      <alignment horizontal="left" vertical="center"/>
    </xf>
    <xf numFmtId="0" fontId="9" fillId="0" borderId="3" xfId="0" applyFont="1" applyBorder="1" applyAlignment="1">
      <alignment horizontal="center" vertical="center" wrapText="1"/>
    </xf>
    <xf numFmtId="0" fontId="9" fillId="0" borderId="6" xfId="0" applyFont="1" applyBorder="1" applyAlignment="1">
      <alignment horizontal="center" vertical="center" wrapText="1"/>
    </xf>
    <xf numFmtId="0" fontId="9" fillId="0" borderId="2" xfId="0" applyFont="1" applyBorder="1" applyAlignment="1">
      <alignment horizontal="center" vertical="center" wrapText="1"/>
    </xf>
    <xf numFmtId="0" fontId="12" fillId="0" borderId="3" xfId="0" applyFont="1" applyBorder="1" applyAlignment="1">
      <alignment horizontal="left" vertical="center" wrapText="1"/>
    </xf>
    <xf numFmtId="0" fontId="12" fillId="0" borderId="6" xfId="0" applyFont="1" applyBorder="1" applyAlignment="1">
      <alignment horizontal="left" vertical="center" wrapText="1"/>
    </xf>
    <xf numFmtId="0" fontId="12" fillId="0" borderId="2" xfId="0" applyFont="1" applyBorder="1" applyAlignment="1">
      <alignment horizontal="left" vertical="center" wrapText="1"/>
    </xf>
  </cellXfs>
  <cellStyles count="4">
    <cellStyle name="Comma" xfId="1" builtinId="3"/>
    <cellStyle name="Hyperlink" xfId="2" builtinId="8"/>
    <cellStyle name="Normal" xfId="0" builtinId="0"/>
    <cellStyle name="Normal 2" xfId="3"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2</xdr:col>
      <xdr:colOff>116850</xdr:colOff>
      <xdr:row>6</xdr:row>
      <xdr:rowOff>11429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rcRect l="7781" t="8798" r="5018" b="5596"/>
        <a:stretch>
          <a:fillRect/>
        </a:stretch>
      </xdr:blipFill>
      <xdr:spPr>
        <a:xfrm>
          <a:off x="38100" y="0"/>
          <a:ext cx="1152525" cy="1162050"/>
        </a:xfrm>
        <a:prstGeom prst="rect">
          <a:avLst/>
        </a:prstGeom>
      </xdr:spPr>
    </xdr:pic>
    <xdr:clientData/>
  </xdr:twoCellAnchor>
  <xdr:twoCellAnchor editAs="oneCell">
    <xdr:from>
      <xdr:col>1</xdr:col>
      <xdr:colOff>457200</xdr:colOff>
      <xdr:row>32</xdr:row>
      <xdr:rowOff>25401</xdr:rowOff>
    </xdr:from>
    <xdr:to>
      <xdr:col>3</xdr:col>
      <xdr:colOff>355599</xdr:colOff>
      <xdr:row>35</xdr:row>
      <xdr:rowOff>38101</xdr:rowOff>
    </xdr:to>
    <xdr:pic>
      <xdr:nvPicPr>
        <xdr:cNvPr id="6" name="Picture 5">
          <a:extLst>
            <a:ext uri="{FF2B5EF4-FFF2-40B4-BE49-F238E27FC236}">
              <a16:creationId xmlns:a16="http://schemas.microsoft.com/office/drawing/2014/main" id="{EFAD88B6-363B-7248-4BFF-F51B2678E58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4033" y="7361768"/>
          <a:ext cx="728133" cy="546100"/>
        </a:xfrm>
        <a:prstGeom prst="rect">
          <a:avLst/>
        </a:prstGeom>
      </xdr:spPr>
    </xdr:pic>
    <xdr:clientData/>
  </xdr:twoCellAnchor>
  <xdr:twoCellAnchor>
    <xdr:from>
      <xdr:col>5</xdr:col>
      <xdr:colOff>198969</xdr:colOff>
      <xdr:row>6</xdr:row>
      <xdr:rowOff>33866</xdr:rowOff>
    </xdr:from>
    <xdr:to>
      <xdr:col>7</xdr:col>
      <xdr:colOff>499534</xdr:colOff>
      <xdr:row>17</xdr:row>
      <xdr:rowOff>187505</xdr:rowOff>
    </xdr:to>
    <xdr:pic>
      <xdr:nvPicPr>
        <xdr:cNvPr id="4" name="Picture 3">
          <a:extLst>
            <a:ext uri="{FF2B5EF4-FFF2-40B4-BE49-F238E27FC236}">
              <a16:creationId xmlns:a16="http://schemas.microsoft.com/office/drawing/2014/main" id="{36CAFC4A-645E-4B73-9D36-A7DA6B7C18D8}"/>
            </a:ext>
          </a:extLst>
        </xdr:cNvPr>
        <xdr:cNvPicPr>
          <a:picLocks noChangeAspect="1"/>
        </xdr:cNvPicPr>
      </xdr:nvPicPr>
      <xdr:blipFill rotWithShape="1">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l="32816" t="21689" r="31398" b="27705"/>
        <a:stretch>
          <a:fillRect/>
        </a:stretch>
      </xdr:blipFill>
      <xdr:spPr>
        <a:xfrm>
          <a:off x="3632202" y="1185333"/>
          <a:ext cx="1612899" cy="16141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4DDDC-A116-41FF-84A9-E5AC0AAF7F5E}">
  <sheetPr>
    <pageSetUpPr fitToPage="1"/>
  </sheetPr>
  <dimension ref="A1:J39"/>
  <sheetViews>
    <sheetView tabSelected="1" zoomScale="78" zoomScaleNormal="78" zoomScaleSheetLayoutView="100" workbookViewId="0">
      <selection activeCell="I12" sqref="I12"/>
    </sheetView>
  </sheetViews>
  <sheetFormatPr defaultColWidth="9.125" defaultRowHeight="15" x14ac:dyDescent="0.25"/>
  <cols>
    <col min="1" max="1" width="6.875" style="5" customWidth="1"/>
    <col min="2" max="2" width="9.25" style="5" customWidth="1"/>
    <col min="3" max="3" width="2.25" style="5" customWidth="1"/>
    <col min="4" max="4" width="18.25" style="5" customWidth="1"/>
    <col min="5" max="5" width="11.25" style="5" customWidth="1"/>
    <col min="6" max="7" width="9.125" style="5" customWidth="1"/>
    <col min="8" max="9" width="14.5" style="5" customWidth="1"/>
    <col min="10" max="10" width="1.5" style="5" customWidth="1"/>
    <col min="11" max="11" width="4" style="5" customWidth="1"/>
    <col min="12" max="12" width="21.5" style="5" customWidth="1"/>
    <col min="13" max="16384" width="9.125" style="5"/>
  </cols>
  <sheetData>
    <row r="1" spans="1:10" ht="15.75" customHeight="1" x14ac:dyDescent="0.25">
      <c r="A1" s="3"/>
      <c r="B1" s="3"/>
      <c r="D1" s="4" t="s">
        <v>0</v>
      </c>
      <c r="E1" s="4"/>
      <c r="F1" s="4"/>
      <c r="G1" s="4"/>
      <c r="H1" s="4"/>
      <c r="I1" s="4"/>
    </row>
    <row r="2" spans="1:10" ht="15" customHeight="1" x14ac:dyDescent="0.25">
      <c r="A2" s="6"/>
      <c r="B2" s="6"/>
      <c r="D2" s="7" t="s">
        <v>36</v>
      </c>
      <c r="E2" s="8"/>
      <c r="F2" s="8"/>
      <c r="G2" s="8"/>
      <c r="H2" s="8"/>
      <c r="I2" s="8"/>
    </row>
    <row r="3" spans="1:10" ht="15" customHeight="1" x14ac:dyDescent="0.25">
      <c r="A3" s="6"/>
      <c r="B3" s="6"/>
      <c r="D3" s="7" t="s">
        <v>37</v>
      </c>
      <c r="E3" s="8"/>
      <c r="F3" s="8"/>
      <c r="G3" s="8"/>
      <c r="H3" s="8"/>
      <c r="I3" s="8"/>
    </row>
    <row r="4" spans="1:10" ht="15" customHeight="1" x14ac:dyDescent="0.25">
      <c r="A4" s="9"/>
      <c r="B4" s="9"/>
      <c r="D4" s="5" t="s">
        <v>1</v>
      </c>
      <c r="E4" s="10" t="s">
        <v>2</v>
      </c>
      <c r="G4" s="11"/>
      <c r="H4" s="11"/>
      <c r="I4" s="11"/>
    </row>
    <row r="5" spans="1:10" ht="15" customHeight="1" x14ac:dyDescent="0.25">
      <c r="A5" s="6"/>
      <c r="B5" s="6"/>
      <c r="D5" s="12" t="s">
        <v>3</v>
      </c>
      <c r="E5" s="13"/>
      <c r="F5" s="13"/>
      <c r="G5" s="13"/>
      <c r="H5" s="13"/>
      <c r="I5" s="13"/>
      <c r="J5" s="13"/>
    </row>
    <row r="6" spans="1:10" ht="15" customHeight="1" x14ac:dyDescent="0.25">
      <c r="A6" s="6"/>
      <c r="B6" s="6"/>
      <c r="D6" s="12" t="s">
        <v>4</v>
      </c>
      <c r="E6" s="13"/>
      <c r="F6" s="13"/>
      <c r="G6" s="13"/>
      <c r="H6" s="13"/>
      <c r="I6" s="13"/>
      <c r="J6" s="13"/>
    </row>
    <row r="7" spans="1:10" ht="15.75" customHeight="1" x14ac:dyDescent="0.25"/>
    <row r="8" spans="1:10" ht="22.35" customHeight="1" x14ac:dyDescent="0.25">
      <c r="A8" s="46" t="s">
        <v>5</v>
      </c>
      <c r="B8" s="46"/>
      <c r="C8" s="46"/>
      <c r="D8" s="46"/>
      <c r="E8" s="46"/>
      <c r="F8" s="46"/>
      <c r="G8" s="46"/>
      <c r="H8" s="46"/>
      <c r="I8" s="46"/>
    </row>
    <row r="9" spans="1:10" x14ac:dyDescent="0.25">
      <c r="A9" s="47" t="s">
        <v>39</v>
      </c>
      <c r="B9" s="47"/>
      <c r="C9" s="47"/>
      <c r="D9" s="47"/>
      <c r="E9" s="47"/>
      <c r="F9" s="47"/>
      <c r="G9" s="47"/>
      <c r="H9" s="47"/>
      <c r="I9" s="47"/>
    </row>
    <row r="10" spans="1:10" x14ac:dyDescent="0.25">
      <c r="A10" s="47" t="s">
        <v>40</v>
      </c>
      <c r="B10" s="47"/>
      <c r="C10" s="47"/>
      <c r="D10" s="47"/>
      <c r="E10" s="47"/>
      <c r="F10" s="47"/>
      <c r="G10" s="47"/>
      <c r="H10" s="47"/>
      <c r="I10" s="47"/>
    </row>
    <row r="11" spans="1:10" ht="10.5" customHeight="1" x14ac:dyDescent="0.25">
      <c r="A11" s="14"/>
      <c r="B11" s="14"/>
      <c r="C11" s="14"/>
      <c r="D11" s="14"/>
      <c r="E11" s="14"/>
      <c r="F11" s="14"/>
      <c r="G11" s="14"/>
      <c r="H11" s="14"/>
      <c r="I11" s="14"/>
    </row>
    <row r="12" spans="1:10" s="17" customFormat="1" ht="14.25" customHeight="1" x14ac:dyDescent="0.2">
      <c r="A12" s="48" t="s">
        <v>6</v>
      </c>
      <c r="B12" s="48"/>
      <c r="C12" s="15" t="s">
        <v>41</v>
      </c>
      <c r="D12" s="15"/>
      <c r="E12" s="15"/>
      <c r="F12" s="15"/>
      <c r="G12" s="15"/>
      <c r="H12" s="16"/>
    </row>
    <row r="13" spans="1:10" s="17" customFormat="1" ht="14.25" hidden="1" customHeight="1" x14ac:dyDescent="0.2">
      <c r="A13" s="48" t="s">
        <v>7</v>
      </c>
      <c r="B13" s="48"/>
      <c r="C13" s="15" t="s">
        <v>29</v>
      </c>
      <c r="D13" s="15"/>
      <c r="E13" s="15"/>
      <c r="F13" s="15"/>
      <c r="G13" s="15"/>
      <c r="H13" s="15"/>
    </row>
    <row r="14" spans="1:10" s="17" customFormat="1" ht="14.25" hidden="1" customHeight="1" x14ac:dyDescent="0.2">
      <c r="A14" s="49" t="s">
        <v>8</v>
      </c>
      <c r="B14" s="49"/>
      <c r="C14" s="18" t="s">
        <v>29</v>
      </c>
      <c r="D14" s="18"/>
      <c r="E14" s="18"/>
      <c r="F14" s="15"/>
      <c r="G14" s="15"/>
      <c r="H14" s="15"/>
    </row>
    <row r="15" spans="1:10" s="17" customFormat="1" ht="14.25" customHeight="1" x14ac:dyDescent="0.2">
      <c r="A15" s="48" t="s">
        <v>38</v>
      </c>
      <c r="B15" s="48"/>
      <c r="C15" s="53"/>
      <c r="D15" s="54"/>
      <c r="E15" s="54"/>
      <c r="F15" s="54"/>
      <c r="G15" s="15"/>
      <c r="H15" s="15"/>
    </row>
    <row r="16" spans="1:10" ht="15" hidden="1" customHeight="1" x14ac:dyDescent="0.25">
      <c r="A16" s="19" t="s">
        <v>9</v>
      </c>
      <c r="B16" s="50"/>
      <c r="C16" s="50"/>
      <c r="D16" s="50"/>
      <c r="E16" s="50"/>
      <c r="G16" s="50"/>
      <c r="H16" s="50"/>
      <c r="I16" s="50"/>
    </row>
    <row r="17" spans="1:10" ht="11.25" customHeight="1" x14ac:dyDescent="0.25">
      <c r="A17" s="16"/>
      <c r="B17" s="51"/>
      <c r="C17" s="51"/>
      <c r="D17" s="51"/>
      <c r="E17" s="51"/>
      <c r="F17" s="13"/>
      <c r="G17" s="52"/>
      <c r="H17" s="51"/>
      <c r="I17" s="51"/>
    </row>
    <row r="18" spans="1:10" ht="43.5" customHeight="1" x14ac:dyDescent="0.25">
      <c r="A18" s="41" t="s">
        <v>10</v>
      </c>
      <c r="B18" s="41"/>
      <c r="C18" s="41"/>
      <c r="D18" s="41"/>
      <c r="E18" s="41"/>
      <c r="F18" s="41"/>
      <c r="G18" s="41"/>
      <c r="H18" s="41"/>
      <c r="I18" s="41"/>
      <c r="J18" s="20"/>
    </row>
    <row r="19" spans="1:10" s="2" customFormat="1" ht="27.75" customHeight="1" x14ac:dyDescent="0.2">
      <c r="A19" s="21" t="s">
        <v>11</v>
      </c>
      <c r="B19" s="59" t="s">
        <v>12</v>
      </c>
      <c r="C19" s="60"/>
      <c r="D19" s="60"/>
      <c r="E19" s="61"/>
      <c r="F19" s="1" t="s">
        <v>13</v>
      </c>
      <c r="G19" s="21" t="s">
        <v>14</v>
      </c>
      <c r="H19" s="21" t="s">
        <v>15</v>
      </c>
      <c r="I19" s="21" t="s">
        <v>16</v>
      </c>
    </row>
    <row r="20" spans="1:10" s="13" customFormat="1" ht="32.1" customHeight="1" x14ac:dyDescent="0.2">
      <c r="A20" s="22">
        <v>1</v>
      </c>
      <c r="B20" s="62" t="s">
        <v>42</v>
      </c>
      <c r="C20" s="63"/>
      <c r="D20" s="63"/>
      <c r="E20" s="64"/>
      <c r="F20" s="23" t="s">
        <v>30</v>
      </c>
      <c r="G20" s="24">
        <v>5</v>
      </c>
      <c r="H20" s="25">
        <v>600000</v>
      </c>
      <c r="I20" s="25">
        <f>H20*G20</f>
        <v>3000000</v>
      </c>
    </row>
    <row r="21" spans="1:10" s="13" customFormat="1" ht="32.1" customHeight="1" x14ac:dyDescent="0.2">
      <c r="A21" s="22">
        <v>2</v>
      </c>
      <c r="B21" s="62" t="s">
        <v>43</v>
      </c>
      <c r="C21" s="63"/>
      <c r="D21" s="63"/>
      <c r="E21" s="64"/>
      <c r="F21" s="23" t="s">
        <v>30</v>
      </c>
      <c r="G21" s="24">
        <v>1</v>
      </c>
      <c r="H21" s="25">
        <v>600000</v>
      </c>
      <c r="I21" s="25">
        <f>H21*G21</f>
        <v>600000</v>
      </c>
    </row>
    <row r="22" spans="1:10" s="13" customFormat="1" ht="21" customHeight="1" x14ac:dyDescent="0.2">
      <c r="A22" s="26"/>
      <c r="B22" s="55" t="s">
        <v>17</v>
      </c>
      <c r="C22" s="56"/>
      <c r="D22" s="56"/>
      <c r="E22" s="56"/>
      <c r="F22" s="56"/>
      <c r="G22" s="56"/>
      <c r="H22" s="57"/>
      <c r="I22" s="27">
        <f>SUM(I20:I21)</f>
        <v>3600000</v>
      </c>
    </row>
    <row r="23" spans="1:10" s="13" customFormat="1" ht="21" customHeight="1" x14ac:dyDescent="0.2">
      <c r="A23" s="28"/>
      <c r="B23" s="58" t="s">
        <v>34</v>
      </c>
      <c r="C23" s="39"/>
      <c r="D23" s="39"/>
      <c r="E23" s="39"/>
      <c r="F23" s="39"/>
      <c r="G23" s="39"/>
      <c r="H23" s="40"/>
      <c r="I23" s="29">
        <f>I22*8%</f>
        <v>288000</v>
      </c>
    </row>
    <row r="24" spans="1:10" s="13" customFormat="1" ht="21" customHeight="1" x14ac:dyDescent="0.2">
      <c r="A24" s="28"/>
      <c r="B24" s="58" t="s">
        <v>18</v>
      </c>
      <c r="C24" s="39"/>
      <c r="D24" s="39"/>
      <c r="E24" s="39"/>
      <c r="F24" s="39"/>
      <c r="G24" s="39"/>
      <c r="H24" s="40"/>
      <c r="I24" s="29">
        <f>I22+I23</f>
        <v>3888000</v>
      </c>
    </row>
    <row r="25" spans="1:10" s="13" customFormat="1" ht="21" customHeight="1" x14ac:dyDescent="0.2">
      <c r="A25" s="28"/>
      <c r="B25" s="37" t="s">
        <v>44</v>
      </c>
      <c r="C25" s="38"/>
      <c r="D25" s="39"/>
      <c r="E25" s="39"/>
      <c r="F25" s="39"/>
      <c r="G25" s="39"/>
      <c r="H25" s="39"/>
      <c r="I25" s="40"/>
    </row>
    <row r="26" spans="1:10" s="13" customFormat="1" x14ac:dyDescent="0.2">
      <c r="A26" s="30" t="s">
        <v>19</v>
      </c>
    </row>
    <row r="27" spans="1:10" s="13" customFormat="1" ht="16.5" customHeight="1" x14ac:dyDescent="0.2">
      <c r="A27" s="31" t="s">
        <v>20</v>
      </c>
      <c r="D27" s="41" t="s">
        <v>28</v>
      </c>
      <c r="E27" s="41"/>
      <c r="F27" s="41"/>
      <c r="G27" s="41"/>
      <c r="H27" s="41"/>
      <c r="I27" s="41"/>
    </row>
    <row r="28" spans="1:10" s="13" customFormat="1" ht="16.5" customHeight="1" x14ac:dyDescent="0.2">
      <c r="A28" s="32" t="s">
        <v>21</v>
      </c>
      <c r="D28" s="42" t="s">
        <v>45</v>
      </c>
      <c r="E28" s="43"/>
      <c r="F28" s="43"/>
      <c r="G28" s="43"/>
      <c r="H28" s="43"/>
      <c r="I28" s="43"/>
    </row>
    <row r="29" spans="1:10" s="13" customFormat="1" ht="16.5" customHeight="1" x14ac:dyDescent="0.2">
      <c r="A29" s="32" t="s">
        <v>22</v>
      </c>
      <c r="D29" s="33" t="s">
        <v>35</v>
      </c>
    </row>
    <row r="30" spans="1:10" s="13" customFormat="1" ht="16.5" customHeight="1" x14ac:dyDescent="0.2">
      <c r="A30" s="34" t="s">
        <v>23</v>
      </c>
      <c r="D30" s="33" t="s">
        <v>24</v>
      </c>
    </row>
    <row r="31" spans="1:10" s="13" customFormat="1" ht="27.75" customHeight="1" x14ac:dyDescent="0.2">
      <c r="A31" s="13" t="s">
        <v>25</v>
      </c>
    </row>
    <row r="32" spans="1:10" x14ac:dyDescent="0.25">
      <c r="A32" s="44" t="s">
        <v>26</v>
      </c>
      <c r="B32" s="44"/>
      <c r="C32" s="44"/>
      <c r="D32" s="44"/>
      <c r="G32" s="35" t="s">
        <v>27</v>
      </c>
    </row>
    <row r="33" spans="1:4" ht="16.5" customHeight="1" x14ac:dyDescent="0.25"/>
    <row r="34" spans="1:4" ht="16.5" customHeight="1" x14ac:dyDescent="0.25"/>
    <row r="35" spans="1:4" ht="9.6" customHeight="1" x14ac:dyDescent="0.25"/>
    <row r="36" spans="1:4" ht="8.1" customHeight="1" x14ac:dyDescent="0.25"/>
    <row r="37" spans="1:4" ht="13.5" customHeight="1" x14ac:dyDescent="0.25">
      <c r="A37" s="45" t="s">
        <v>31</v>
      </c>
      <c r="B37" s="45"/>
      <c r="C37" s="45"/>
      <c r="D37" s="45"/>
    </row>
    <row r="38" spans="1:4" x14ac:dyDescent="0.25">
      <c r="A38" s="36" t="s">
        <v>32</v>
      </c>
      <c r="B38" s="36"/>
      <c r="C38" s="36"/>
      <c r="D38" s="36"/>
    </row>
    <row r="39" spans="1:4" x14ac:dyDescent="0.25">
      <c r="A39" s="36" t="s">
        <v>33</v>
      </c>
      <c r="B39" s="36"/>
      <c r="C39" s="36"/>
      <c r="D39" s="36"/>
    </row>
  </sheetData>
  <mergeCells count="26">
    <mergeCell ref="B22:H22"/>
    <mergeCell ref="B23:H23"/>
    <mergeCell ref="B24:H24"/>
    <mergeCell ref="B19:E19"/>
    <mergeCell ref="B20:E20"/>
    <mergeCell ref="B21:E21"/>
    <mergeCell ref="A18:I18"/>
    <mergeCell ref="A8:I8"/>
    <mergeCell ref="A9:I9"/>
    <mergeCell ref="A10:I10"/>
    <mergeCell ref="A12:B12"/>
    <mergeCell ref="A13:B13"/>
    <mergeCell ref="A14:B14"/>
    <mergeCell ref="A15:B15"/>
    <mergeCell ref="B16:E16"/>
    <mergeCell ref="G16:I16"/>
    <mergeCell ref="B17:E17"/>
    <mergeCell ref="G17:I17"/>
    <mergeCell ref="C15:F15"/>
    <mergeCell ref="A39:D39"/>
    <mergeCell ref="B25:I25"/>
    <mergeCell ref="D27:I27"/>
    <mergeCell ref="D28:I28"/>
    <mergeCell ref="A32:D32"/>
    <mergeCell ref="A37:D37"/>
    <mergeCell ref="A38:D38"/>
  </mergeCells>
  <pageMargins left="0.55118110236220474" right="0.15748031496062992" top="0.51181102362204722" bottom="0.74803149606299213" header="0.3543307086614173" footer="0.31496062992125984"/>
  <pageSetup paperSize="9" scale="93" fitToHeight="0" orientation="portrait" r:id="rId1"/>
  <drawing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BG_Quỳnh Anh</vt:lpstr>
      <vt:lpstr>'BG_Quỳnh Anh'!Print_Area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khanh duy vi</cp:lastModifiedBy>
  <cp:lastPrinted>2026-03-14T04:45:00Z</cp:lastPrinted>
  <dcterms:created xsi:type="dcterms:W3CDTF">2025-06-05T09:40:21Z</dcterms:created>
  <dcterms:modified xsi:type="dcterms:W3CDTF">2026-04-13T17:03:25Z</dcterms:modified>
  <cp:category/>
</cp:coreProperties>
</file>